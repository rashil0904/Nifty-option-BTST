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PnL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;(₹#,##0.00);&quot;-&quot;"/>
    <numFmt numFmtId="165" formatCode="0.00%;(0.00%);&quot;-&quot;"/>
    <numFmt numFmtId="166" formatCode="#,##0;(#,##0);&quot;-&quot;"/>
    <numFmt numFmtId="167" formatCode="0.00&quot;x&quot;"/>
  </numFmts>
  <fonts count="9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i val="1"/>
      <color rgb="FF808080"/>
      <sz val="10"/>
    </font>
    <font>
      <name val="Arial"/>
      <b val="1"/>
      <color rgb="FFFFFFFF"/>
    </font>
    <font>
      <name val="Arial"/>
      <b val="1"/>
      <color rgb="FF1F3864"/>
      <sz val="11"/>
    </font>
    <font>
      <name val="Arial"/>
      <color rgb="FFFFFFFF"/>
      <sz val="9"/>
    </font>
    <font>
      <name val="Arial"/>
      <b val="1"/>
      <color rgb="FFFFFFFF"/>
      <sz val="26"/>
    </font>
    <font>
      <name val="Arial"/>
      <b val="1"/>
      <color rgb="FF000000"/>
    </font>
    <font>
      <name val="Arial"/>
      <color rgb="FF000000"/>
    </font>
  </fonts>
  <fills count="7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C77D02"/>
        <bgColor rgb="FFC77D02"/>
      </patternFill>
    </fill>
    <fill>
      <patternFill patternType="solid">
        <fgColor rgb="FF1B7A75"/>
        <bgColor rgb="FF1B7A75"/>
      </patternFill>
    </fill>
    <fill>
      <patternFill patternType="solid">
        <fgColor rgb="FF5B2C83"/>
        <bgColor rgb="FF5B2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5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5" fillId="6" borderId="0" applyAlignment="1" pivotButton="0" quotePrefix="0" xfId="0">
      <alignment horizontal="center" vertical="center"/>
    </xf>
    <xf numFmtId="0" fontId="0" fillId="6" borderId="0" pivotButton="0" quotePrefix="0" xfId="0"/>
    <xf numFmtId="164" fontId="6" fillId="2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166" fontId="6" fillId="5" borderId="0" applyAlignment="1" pivotButton="0" quotePrefix="0" xfId="0">
      <alignment horizontal="center" vertical="center"/>
    </xf>
    <xf numFmtId="167" fontId="6" fillId="6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7" fillId="0" borderId="0" pivotButton="0" quotePrefix="0" xfId="0"/>
    <xf numFmtId="166" fontId="8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2E7D32"/>
          <bgColor rgb="FF2E7D32"/>
        </patternFill>
      </fill>
    </dxf>
    <dxf>
      <fill>
        <patternFill patternType="solid">
          <fgColor rgb="FFC62828"/>
          <bgColor rgb="FFC6282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5" customWidth="1" min="4" max="4"/>
    <col width="8" customWidth="1" min="5" max="5"/>
    <col width="15" customWidth="1" min="6" max="6"/>
    <col width="15" customWidth="1" min="7" max="7"/>
    <col width="15" customWidth="1" min="8" max="8"/>
    <col width="8" customWidth="1" min="9" max="9"/>
    <col width="15" customWidth="1" min="10" max="10"/>
    <col width="15" customWidth="1" min="11" max="11"/>
    <col width="15" customWidth="1" min="12" max="12"/>
    <col width="8" customWidth="1" min="13" max="13"/>
    <col width="15" customWidth="1" min="14" max="14"/>
    <col width="15" customWidth="1" min="15" max="15"/>
    <col width="15" customWidth="1" min="16" max="16"/>
  </cols>
  <sheetData>
    <row r="1" ht="22" customHeight="1">
      <c r="A1" s="1" t="inlineStr">
        <is>
          <t>Total PnL</t>
        </is>
      </c>
    </row>
    <row r="2" ht="16" customHeight="1">
      <c r="A2" s="2" t="inlineStr">
        <is>
          <t>Nifty BTST ratio backspread -- everything below calculates automatically from Trade Log.</t>
        </is>
      </c>
    </row>
    <row r="4" ht="18" customHeight="1">
      <c r="A4" s="3" t="inlineStr">
        <is>
          <t>STRATEGY SNAPSHOT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B5" s="5" t="inlineStr">
        <is>
          <t>GROSS P&amp;L (₹)</t>
        </is>
      </c>
      <c r="C5" s="6" t="n"/>
      <c r="D5" s="6" t="n"/>
      <c r="F5" s="7" t="inlineStr">
        <is>
          <t>WIN RATE</t>
        </is>
      </c>
      <c r="G5" s="8" t="n"/>
      <c r="H5" s="8" t="n"/>
      <c r="J5" s="9" t="inlineStr">
        <is>
          <t>TOTAL TRADES</t>
        </is>
      </c>
      <c r="K5" s="10" t="n"/>
      <c r="L5" s="10" t="n"/>
      <c r="N5" s="11" t="inlineStr">
        <is>
          <t>PROFIT FACTOR</t>
        </is>
      </c>
      <c r="O5" s="12" t="n"/>
      <c r="P5" s="12" t="n"/>
    </row>
    <row r="6">
      <c r="B6" s="13">
        <f>SUM('Trade Log'!$N$4:$N$4)</f>
        <v/>
      </c>
      <c r="C6" s="6" t="n"/>
      <c r="D6" s="6" t="n"/>
      <c r="F6" s="14">
        <f>IFERROR(COUNTIF('Trade Log'!$N$4:$N$4,"&gt;0")/COUNT('Trade Log'!$N$4:$N$4),"")</f>
        <v/>
      </c>
      <c r="G6" s="8" t="n"/>
      <c r="H6" s="8" t="n"/>
      <c r="J6" s="15">
        <f>COUNT('Trade Log'!$N$4:$N$4)</f>
        <v/>
      </c>
      <c r="K6" s="10" t="n"/>
      <c r="L6" s="10" t="n"/>
      <c r="N6" s="16">
        <f>IFERROR(SUMIF('Trade Log'!$N$4:$N$4,"&gt;0")/ABS(SUMIF('Trade Log'!$N$4:$N$4,"&lt;0")),"")</f>
        <v/>
      </c>
      <c r="O6" s="12" t="n"/>
      <c r="P6" s="12" t="n"/>
    </row>
    <row r="7">
      <c r="B7" s="6" t="n"/>
      <c r="C7" s="6" t="n"/>
      <c r="D7" s="6" t="n"/>
      <c r="F7" s="8" t="n"/>
      <c r="G7" s="8" t="n"/>
      <c r="H7" s="8" t="n"/>
      <c r="J7" s="10" t="n"/>
      <c r="K7" s="10" t="n"/>
      <c r="L7" s="10" t="n"/>
      <c r="N7" s="12" t="n"/>
      <c r="O7" s="12" t="n"/>
      <c r="P7" s="12" t="n"/>
    </row>
    <row r="8">
      <c r="B8" s="6" t="n"/>
      <c r="C8" s="6" t="n"/>
      <c r="D8" s="6" t="n"/>
      <c r="F8" s="8" t="n"/>
      <c r="G8" s="8" t="n"/>
      <c r="H8" s="8" t="n"/>
      <c r="J8" s="10" t="n"/>
      <c r="K8" s="10" t="n"/>
      <c r="L8" s="10" t="n"/>
      <c r="N8" s="12" t="n"/>
      <c r="O8" s="12" t="n"/>
      <c r="P8" s="12" t="n"/>
    </row>
    <row r="10" ht="18" customHeight="1">
      <c r="A10" s="3" t="inlineStr">
        <is>
          <t>DETAILED STATS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B11" s="17" t="inlineStr">
        <is>
          <t>Metric</t>
        </is>
      </c>
      <c r="C11" s="17" t="inlineStr">
        <is>
          <t>Value</t>
        </is>
      </c>
    </row>
    <row r="12">
      <c r="B12" s="18" t="inlineStr">
        <is>
          <t>Winning Trades</t>
        </is>
      </c>
      <c r="C12" s="19">
        <f>COUNTIF('Trade Log'!$N$4:$N$4,"&gt;0")</f>
        <v/>
      </c>
    </row>
    <row r="13">
      <c r="B13" s="18" t="inlineStr">
        <is>
          <t>Losing Trades</t>
        </is>
      </c>
      <c r="C13" s="19">
        <f>COUNTIF('Trade Log'!$N$4:$N$4,"&lt;0")</f>
        <v/>
      </c>
    </row>
    <row r="14">
      <c r="B14" s="18" t="inlineStr">
        <is>
          <t>Average Win (₹)</t>
        </is>
      </c>
      <c r="C14" s="20">
        <f>IFERROR(AVERAGEIF('Trade Log'!$N$4:$N$4,"&gt;0"),"")</f>
        <v/>
      </c>
    </row>
    <row r="15">
      <c r="B15" s="18" t="inlineStr">
        <is>
          <t>Average Loss (₹)</t>
        </is>
      </c>
      <c r="C15" s="20">
        <f>IFERROR(AVERAGEIF('Trade Log'!$N$4:$N$4,"&lt;0"),"")</f>
        <v/>
      </c>
    </row>
    <row r="16">
      <c r="B16" s="18" t="inlineStr">
        <is>
          <t>Best Trade (₹)</t>
        </is>
      </c>
      <c r="C16" s="20">
        <f>IFERROR(MAX('Trade Log'!$N$4:$N$4),"")</f>
        <v/>
      </c>
    </row>
    <row r="17">
      <c r="B17" s="18" t="inlineStr">
        <is>
          <t>Worst Trade (₹)</t>
        </is>
      </c>
      <c r="C17" s="20">
        <f>IFERROR(MIN('Trade Log'!$N$4:$N$4),"")</f>
        <v/>
      </c>
    </row>
  </sheetData>
  <mergeCells count="12">
    <mergeCell ref="J5:L5"/>
    <mergeCell ref="A10:P10"/>
    <mergeCell ref="N6:P8"/>
    <mergeCell ref="B5:D5"/>
    <mergeCell ref="F5:H5"/>
    <mergeCell ref="B6:D8"/>
    <mergeCell ref="J6:L8"/>
    <mergeCell ref="A1:P1"/>
    <mergeCell ref="F6:H8"/>
    <mergeCell ref="N5:P5"/>
    <mergeCell ref="A4:P4"/>
    <mergeCell ref="A2:P2"/>
  </mergeCells>
  <conditionalFormatting sqref="B5:D5">
    <cfRule type="expression" priority="1" dxfId="0">
      <formula>$B$6&gt;=0</formula>
    </cfRule>
    <cfRule type="expression" priority="2" dxfId="1">
      <formula>$B$6&lt;0</formula>
    </cfRule>
  </conditionalFormatting>
  <conditionalFormatting sqref="B6:D8">
    <cfRule type="expression" priority="3" dxfId="0">
      <formula>$B$6&gt;=0</formula>
    </cfRule>
    <cfRule type="expression" priority="4" dxfId="1">
      <formula>$B$6&lt;0</formula>
    </cfRule>
  </conditionalFormatting>
  <conditionalFormatting sqref="C14:C17">
    <cfRule type="dataBar" priority="5">
      <dataBar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2" customWidth="1" min="4" max="4"/>
    <col width="20" customWidth="1" min="5" max="5"/>
    <col width="9" customWidth="1" min="6" max="6"/>
    <col width="14" customWidth="1" min="7" max="7"/>
    <col width="14" customWidth="1" min="8" max="8"/>
    <col width="20" customWidth="1" min="9" max="9"/>
    <col width="9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22" customHeight="1">
      <c r="A1" s="1" t="inlineStr">
        <is>
          <t>Trade Log</t>
        </is>
      </c>
    </row>
    <row r="2" ht="16" customHeight="1">
      <c r="A2" s="2" t="inlineStr">
        <is>
          <t>One row per closed BTST cycle (both legs) -- regenerated from results/trade_history.json by results/build_pnl.py.</t>
        </is>
      </c>
    </row>
    <row r="3">
      <c r="A3" s="17" t="inlineStr">
        <is>
          <t>Entry Date</t>
        </is>
      </c>
      <c r="B3" s="17" t="inlineStr">
        <is>
          <t>Direction</t>
        </is>
      </c>
      <c r="C3" s="17" t="inlineStr">
        <is>
          <t>Option Type</t>
        </is>
      </c>
      <c r="D3" s="17" t="inlineStr">
        <is>
          <t>Expiry</t>
        </is>
      </c>
      <c r="E3" s="17" t="inlineStr">
        <is>
          <t>Long Symbol (ATM)</t>
        </is>
      </c>
      <c r="F3" s="17" t="inlineStr">
        <is>
          <t>Long Qty</t>
        </is>
      </c>
      <c r="G3" s="17" t="inlineStr">
        <is>
          <t>Long Entry Price</t>
        </is>
      </c>
      <c r="H3" s="17" t="inlineStr">
        <is>
          <t>Long Exit Price</t>
        </is>
      </c>
      <c r="I3" s="17" t="inlineStr">
        <is>
          <t>Short Symbol (OTM)</t>
        </is>
      </c>
      <c r="J3" s="17" t="inlineStr">
        <is>
          <t>Short Qty</t>
        </is>
      </c>
      <c r="K3" s="17" t="inlineStr">
        <is>
          <t>Short Entry Price</t>
        </is>
      </c>
      <c r="L3" s="17" t="inlineStr">
        <is>
          <t>Short Exit Price</t>
        </is>
      </c>
      <c r="M3" s="17" t="inlineStr">
        <is>
          <t>Exit Date</t>
        </is>
      </c>
      <c r="N3" s="17" t="inlineStr">
        <is>
          <t>Gross P&amp;L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2026-10-22T03:17:02Z</dcterms:created>
  <dcterms:modified xsi:type="dcterms:W3CDTF">2026-10-22T03:17:02Z</dcterms:modified>
</cp:coreProperties>
</file>